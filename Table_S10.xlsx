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85aaef145b4a8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10A_Class_summary" sheetId="1" r:id="R391b45b480884de9"/>
    <x:sheet xmlns:r="http://schemas.openxmlformats.org/officeDocument/2006/relationships" name="S10B_Individual_windows" sheetId="2" r:id="R4a0aa712a8ad460b"/>
    <x:sheet xmlns:r="http://schemas.openxmlformats.org/officeDocument/2006/relationships" name="S10C_Replicate_CPM" sheetId="3" r:id="R5ff76a7ca4394812"/>
    <x:sheet xmlns:r="http://schemas.openxmlformats.org/officeDocument/2006/relationships" name="S10D_Statistics" sheetId="4" r:id="R912e14beb0de4074"/>
  </x:sheets>
</x:workbook>
</file>

<file path=xl/sharedStrings.xml><?xml version="1.0" encoding="utf-8"?>
<x:sst xmlns:x="http://schemas.openxmlformats.org/spreadsheetml/2006/main">
  <x:si>
    <x:t xml:space="preserve">Candidate window</x:t>
  </x:si>
  <x:si>
    <x:t xml:space="preserve">Candidate class</x:t>
  </x:si>
  <x:si>
    <x:t xml:space="preserve">Locus ID</x:t>
  </x:si>
  <x:si>
    <x:t xml:space="preserve">TE alias</x:t>
  </x:si>
  <x:si>
    <x:t xml:space="preserve">Chr</x:t>
  </x:si>
  <x:si>
    <x:t xml:space="preserve">Start</x:t>
  </x:si>
  <x:si>
    <x:t xml:space="preserve">End</x:t>
  </x:si>
  <x:si>
    <x:t xml:space="preserve">Width (bp)</x:t>
  </x:si>
  <x:si>
    <x:t xml:space="preserve">Mean NS CPM</x:t>
  </x:si>
  <x:si>
    <x:t xml:space="preserve">Mean HS CPM</x:t>
  </x:si>
  <x:si>
    <x:t xml:space="preserve">NS rep1</x:t>
  </x:si>
  <x:si>
    <x:t xml:space="preserve">NS rep2</x:t>
  </x:si>
  <x:si>
    <x:t xml:space="preserve">NS rep3</x:t>
  </x:si>
  <x:si>
    <x:t xml:space="preserve">HS rep1</x:t>
  </x:si>
  <x:si>
    <x:t xml:space="preserve">HS rep2</x:t>
  </x:si>
  <x:si>
    <x:t xml:space="preserve">HS rep3</x:t>
  </x:si>
</x:sst>
</file>

<file path=xl/styles.xml><?xml version="1.0" encoding="utf-8"?>
<x:styleSheet xmlns:x="http://schemas.openxmlformats.org/spreadsheetml/2006/main">
  <x:numFmts count="3">
    <x:numFmt numFmtId="164" formatCode="0.000"/>
    <x:numFmt numFmtId="200" formatCode="0.000000"/>
    <x:numFmt numFmtId="201" formatCode="0.000000000"/>
  </x:numFmts>
  <x:fonts count="6">
    <x:font>
      <x:sz val="11"/>
      <x:name val="Carlito"/>
    </x:font>
    <x:font>
      <x:b/>
      <x:sz val="12"/>
      <x:color rgb="FF1F1F1F"/>
      <x:name val="Calibri"/>
    </x:font>
    <x:font>
      <x:b/>
      <x:sz val="10"/>
      <x:color rgb="FF1F1F1F"/>
      <x:name val="Calibri"/>
    </x:font>
    <x:font>
      <x:sz val="10"/>
      <x:color rgb="FF1F1F1F"/>
      <x:name val="Calibri"/>
    </x:font>
    <x:font>
      <x:sz val="10"/>
      <x:color rgb="FF1F1F1F"/>
      <x:name val="Calibri"/>
    </x:font>
    <x:font>
      <x:i/>
      <x:sz val="10"/>
      <x:color rgb="FF404040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B4C6E7"/>
      </x:patternFill>
    </x:fill>
    <x:fill>
      <x:patternFill patternType="solid">
        <x:fgColor rgb="FFB4C6E7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1" fillId="2" borderId="0" xfId="0" applyFont="1" applyFill="1" applyAlignment="1">
      <x:alignment wrapText="1"/>
    </x:xf>
    <x:xf numFmtId="0" fontId="2" fillId="3" borderId="1" xfId="0" applyFont="1" applyFill="1" applyBorder="1" applyAlignment="1">
      <x:alignment wrapText="1"/>
    </x:xf>
    <x:xf numFmtId="0" fontId="3" fillId="0" borderId="1" xfId="0" applyFont="1" applyBorder="1"/>
    <x:xf numFmtId="164" fontId="3" fillId="0" borderId="1" xfId="0" applyNumberFormat="1" applyFont="1" applyBorder="1"/>
    <x:xf numFmtId="1" fontId="3" fillId="0" borderId="1" xfId="0" applyNumberFormat="1" applyFont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164" fontId="3" fillId="0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vertical="bottom" wrapText="1"/>
    </x:xf>
    <x:xf numFmtId="0" fontId="2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wrapText="0"/>
    </x:xf>
    <x:xf numFmtId="164" fontId="4" fillId="5" borderId="1" xfId="0" applyNumberFormat="1" applyFont="1" applyFill="1" applyBorder="1" applyAlignment="1">
      <x:alignment wrapText="0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1" xfId="0" applyNumberFormat="1" applyFont="1" applyFill="1" applyBorder="1"/>
    <x:xf numFmtId="0" fontId="3" fillId="0" borderId="1" xfId="0" applyNumberFormat="1" applyFont="1" applyFill="1" applyBorder="1"/>
    <x:xf numFmtId="20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201" fontId="3" fillId="0" borderId="1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81ff86f07e4eb0" /><Relationship Type="http://schemas.openxmlformats.org/officeDocument/2006/relationships/theme" Target="/xl/theme/theme1.xml" Id="R85a616318f0844b8" /><Relationship Type="http://schemas.openxmlformats.org/officeDocument/2006/relationships/sharedStrings" Target="/xl/sharedStrings.xml" Id="Ra987dcc1c4454d19" /><Relationship Type="http://schemas.openxmlformats.org/officeDocument/2006/relationships/worksheet" Target="/xl/worksheets/sheet1.xml" Id="R391b45b480884de9" /><Relationship Type="http://schemas.openxmlformats.org/officeDocument/2006/relationships/worksheet" Target="/xl/worksheets/sheet2.xml" Id="R4a0aa712a8ad460b" /><Relationship Type="http://schemas.openxmlformats.org/officeDocument/2006/relationships/worksheet" Target="/xl/worksheets/sheet3.xml" Id="R5ff76a7ca4394812" /><Relationship Type="http://schemas.openxmlformats.org/officeDocument/2006/relationships/worksheet" Target="/xl/worksheets/sheet4.xml" Id="R912e14beb0de407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1" max="1" width="45" hidden="0" customWidth="1"/>
    <x:col min="2" max="2" width="11" hidden="0" customWidth="1"/>
    <x:col min="3" max="4" width="15" customWidth="1"/>
    <x:col min="5" max="6" width="16" customWidth="1"/>
    <x:col min="7" max="7" width="43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</x:cols>
  <x:sheetData>
    <x:row r="1" ht="42" customHeight="1">
      <x:c r="A1" s="6" t="str">
        <x:v>Table S10. Heat-associated RNA-seq signal across curated ONSEN terminal candidate windows, two additional ATCOPIA78 candidate regions and the fixed HSF-rich non-ONSEN TE subset.</x:v>
      </x:c>
      <x:c r="B1" s="6" t="str">
        <x:v>Table S10. Heat-associated RNA-seq signal across curated ONSEN terminal candidate windows, two additional ATCOPIA78 candidate regions and the fixed HSF-rich non-ONSEN TE subset.</x:v>
      </x:c>
      <x:c r="C1" s="6" t="str">
        <x:v>Table S10. Heat-associated RNA-seq signal across curated ONSEN terminal candidate windows, two additional ATCOPIA78 candidate regions and the fixed HSF-rich non-ONSEN TE subset.</x:v>
      </x:c>
      <x:c r="D1" s="6" t="str">
        <x:v>Table S10. Heat-associated RNA-seq signal across curated ONSEN terminal candidate windows, two additional ATCOPIA78 candidate regions and the fixed HSF-rich non-ONSEN TE subset.</x:v>
      </x:c>
      <x:c r="E1" s="6" t="str">
        <x:v>Table S10. Heat-associated RNA-seq signal across curated ONSEN terminal candidate windows, two additional ATCOPIA78 candidate regions and the fixed HSF-rich non-ONSEN TE subset.</x:v>
      </x:c>
      <x:c r="F1" s="6" t="str">
        <x:v>Table S10. Heat-associated RNA-seq signal across curated ONSEN terminal candidate windows, two additional ATCOPIA78 candidate regions and the fixed HSF-rich non-ONSEN TE subset.</x:v>
      </x:c>
      <x:c r="G1" s="6" t="str">
        <x:v>Table S10. Heat-associated RNA-seq signal across curated ONSEN terminal candidate windows, two additional ATCOPIA78 candidate regions and the fixed HSF-rich non-ONSEN TE subset.</x:v>
      </x:c>
    </x:row>
    <x:row r="2" ht="45" customHeight="1">
      <x:c r="A2" s="14" t="str">
        <x:v>Candidate class</x:v>
      </x:c>
      <x:c r="B2" s="14" t="str">
        <x:v>n windows</x:v>
      </x:c>
      <x:c r="C2" s="14" t="str">
        <x:v>Mean NS CPM</x:v>
      </x:c>
      <x:c r="D2" s="14" t="str">
        <x:v>Mean HS CPM</x:v>
      </x:c>
      <x:c r="E2" s="14" t="str">
        <x:v>Median NS CPM</x:v>
      </x:c>
      <x:c r="F2" s="14" t="str">
        <x:v>Median HS CPM</x:v>
      </x:c>
      <x:c r="G2" s="14" t="str">
        <x:v>Descriptive log2FC [(mean HS CPM + 0.05)/(mean NS CPM + 0.05)]</x:v>
      </x:c>
    </x:row>
    <x:row r="3" ht="24" customHeight="1">
      <x:c r="A3" s="16" t="str">
        <x:v>ONSEN terminal candidate windows</x:v>
      </x:c>
      <x:c r="B3" s="17" t="n">
        <x:v>16</x:v>
      </x:c>
      <x:c r="C3" s="18" t="n">
        <x:v>0.25856351189429666</x:v>
      </x:c>
      <x:c r="D3" s="18" t="n">
        <x:v>54.09689402312801</x:v>
      </x:c>
      <x:c r="E3" s="18" t="n">
        <x:v>0.03068449272938411</x:v>
      </x:c>
      <x:c r="F3" s="18" t="n">
        <x:v>37.95286990095993</x:v>
      </x:c>
      <x:c r="G3" s="18" t="n">
        <x:v>7.455167302929192</x:v>
      </x:c>
    </x:row>
    <x:row r="4" ht="14.399999618530273" customHeight="1">
      <x:c r="A4" s="9" t="str">
        <x:v>Additional ATCOPIA78 candidate regions</x:v>
      </x:c>
      <x:c r="B4" s="3" t="n">
        <x:v>2</x:v>
      </x:c>
      <x:c r="C4" s="10" t="n">
        <x:v>0</x:v>
      </x:c>
      <x:c r="D4" s="10" t="n">
        <x:v>1.5669026893206934</x:v>
      </x:c>
      <x:c r="E4" s="10" t="n">
        <x:v>0</x:v>
      </x:c>
      <x:c r="F4" s="10" t="n">
        <x:v>1.5669026893206934</x:v>
      </x:c>
      <x:c r="G4" s="10" t="n">
        <x:v>5.015160950038493</x:v>
      </x:c>
    </x:row>
    <x:row r="5" ht="14.399999618530273" customHeight="1">
      <x:c r="A5" s="9" t="str">
        <x:v>HSF-rich non-ONSEN TE regions</x:v>
      </x:c>
      <x:c r="B5" s="3" t="n">
        <x:v>8</x:v>
      </x:c>
      <x:c r="C5" s="10" t="n">
        <x:v>0</x:v>
      </x:c>
      <x:c r="D5" s="10" t="n">
        <x:v>0.02174483218396903</x:v>
      </x:c>
      <x:c r="E5" s="10" t="n">
        <x:v>0</x:v>
      </x:c>
      <x:c r="F5" s="10" t="n">
        <x:v>0</x:v>
      </x:c>
      <x:c r="G5" s="10" t="n">
        <x:v>0.5209468226003591</x:v>
      </x:c>
    </x:row>
  </x:sheetData>
  <x:mergeCells>
    <x:mergeCell ref="A1:G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19" customWidth="1"/>
    <x:col min="2" max="2" width="31" customWidth="1"/>
    <x:col min="3" max="4" width="16" customWidth="1"/>
    <x:col min="5" max="5" width="9" customWidth="1"/>
    <x:col min="6" max="7" width="13" customWidth="1"/>
    <x:col min="8" max="8" width="12" customWidth="1"/>
    <x:col min="9" max="11" width="14" customWidth="1"/>
    <x:col min="12" max="12" width="34" hidden="0" customWidth="1"/>
    <x:col min="13" max="13" width="34" hidden="0" customWidth="1"/>
    <x:col min="9" max="9" width="38" hidden="0" customWidth="1"/>
  </x:cols>
  <x:sheetData>
    <x:row r="1" ht="42" customHeight="1">
      <x:c r="A1" s="6" t="str">
        <x:v>Table S10. Heat-associated RNA-seq signal across curated ONSEN terminal candidate windows, two additional ATCOPIA78 candidate regions and the fixed HSF-rich non-ONSEN TE subset.</x:v>
      </x:c>
      <x:c r="B1" s="6" t="str">
        <x:v>Table S10. Heat-associated RNA-seq signal across curated ONSEN terminal candidate windows, two additional ATCOPIA78 candidate regions and the fixed HSF-rich non-ONSEN TE subset.</x:v>
      </x:c>
      <x:c r="C1" s="6" t="str">
        <x:v>Table S10. Heat-associated RNA-seq signal across curated ONSEN terminal candidate windows, two additional ATCOPIA78 candidate regions and the fixed HSF-rich non-ONSEN TE subset.</x:v>
      </x:c>
      <x:c r="D1" s="6" t="str">
        <x:v>Table S10. Heat-associated RNA-seq signal across curated ONSEN terminal candidate windows, two additional ATCOPIA78 candidate regions and the fixed HSF-rich non-ONSEN TE subset.</x:v>
      </x:c>
      <x:c r="E1" s="6" t="str">
        <x:v>Table S10. Heat-associated RNA-seq signal across curated ONSEN terminal candidate windows, two additional ATCOPIA78 candidate regions and the fixed HSF-rich non-ONSEN TE subset.</x:v>
      </x:c>
      <x:c r="F1" s="6" t="str">
        <x:v>Table S10. Heat-associated RNA-seq signal across curated ONSEN terminal candidate windows, two additional ATCOPIA78 candidate regions and the fixed HSF-rich non-ONSEN TE subset.</x:v>
      </x:c>
      <x:c r="G1" s="6" t="str">
        <x:v>Table S10. Heat-associated RNA-seq signal across curated ONSEN terminal candidate windows, two additional ATCOPIA78 candidate regions and the fixed HSF-rich non-ONSEN TE subset.</x:v>
      </x:c>
      <x:c r="H1" s="6" t="str">
        <x:v>Table S10. Heat-associated RNA-seq signal across curated ONSEN terminal candidate windows, two additional ATCOPIA78 candidate regions and the fixed HSF-rich non-ONSEN TE subset.</x:v>
      </x:c>
      <x:c r="I1" s="6" t="str">
        <x:v>Table S10. Heat-associated RNA-seq signal across curated ONSEN terminal candidate windows, two additional ATCOPIA78 candidate regions and the fixed HSF-rich non-ONSEN TE subset.</x:v>
      </x:c>
      <x:c r="J1" s="6" t="str">
        <x:v>Table S10. Heat-associated RNA-seq signal across curated ONSEN terminal candidate windows, two additional ATCOPIA78 candidate regions and the fixed HSF-rich non-ONSEN TE subset.</x:v>
      </x:c>
      <x:c r="K1" s="6" t="str">
        <x:v>Table S10. Heat-associated RNA-seq signal across curated ONSEN terminal candidate windows, two additional ATCOPIA78 candidate regions and the fixed HSF-rich non-ONSEN TE subset.</x:v>
      </x:c>
      <x:c r="L1" s="6" t="str">
        <x:v>Table S10. Heat-associated RNA-seq signal across curated ONSEN terminal candidate windows, two additional ATCOPIA78 candidate regions and the fixed HSF-rich non-ONSEN TE subset.</x:v>
      </x:c>
      <x:c r="M1" s="6" t="str">
        <x:v>Table S10. Heat-associated RNA-seq signal across curated ONSEN terminal candidate windows, two additional ATCOPIA78 candidate regions and the fixed HSF-rich non-ONSEN TE subset.</x:v>
      </x:c>
    </x:row>
    <x:row r="3" ht="60" customHeight="1">
      <x:c r="A3" s="8" t="s">
        <x:v>0</x:v>
      </x:c>
      <x:c r="B3" s="8" t="s">
        <x:v>1</x:v>
      </x:c>
      <x:c r="C3" s="8" t="s">
        <x:v>2</x:v>
      </x:c>
      <x:c r="D3" s="8" t="s">
        <x:v>3</x:v>
      </x:c>
      <x:c r="E3" s="8" t="s">
        <x:v>4</x:v>
      </x:c>
      <x:c r="F3" s="8" t="s">
        <x:v>5</x:v>
      </x:c>
      <x:c r="G3" s="8" t="s">
        <x:v>6</x:v>
      </x:c>
      <x:c r="H3" s="8" t="s">
        <x:v>7</x:v>
      </x:c>
      <x:c r="I3" s="8" t="str">
        <x:v>Non-redundant HSF motif-coordinate placement density (placements/kb)</x:v>
      </x:c>
      <x:c r="J3" s="8" t="s">
        <x:v>8</x:v>
      </x:c>
      <x:c r="K3" s="8" t="s">
        <x:v>9</x:v>
      </x:c>
      <x:c r="L3" s="8" t="str">
        <x:v>Descriptive log2FC [(mean HS CPM + 0.05)/(mean NS CPM + 0.05)]</x:v>
      </x:c>
      <x:c r="M3" s="8" t="str">
        <x:v>Fig. 5C x-coordinate: log2(mean HS CPM + 1)</x:v>
      </x:c>
    </x:row>
    <x:row r="4" ht="14.399999618530273" customHeight="1">
      <x:c r="A4" s="3" t="str">
        <x:v>ONSEN1-L</x:v>
      </x:c>
      <x:c r="B4" s="3" t="str">
        <x:v>ONSEN terminal candidate windows</x:v>
      </x:c>
      <x:c r="C4" s="3" t="str">
        <x:v>AT1G11265</x:v>
      </x:c>
      <x:c r="D4" s="3" t="str">
        <x:v>ONSEN</x:v>
      </x:c>
      <x:c r="E4" s="3" t="str">
        <x:v>chr1</x:v>
      </x:c>
      <x:c r="F4" s="5" t="n">
        <x:v>3780765</x:v>
      </x:c>
      <x:c r="G4" s="5" t="n">
        <x:v>3781564</x:v>
      </x:c>
      <x:c r="H4" s="5" t="n">
        <x:v>800</x:v>
      </x:c>
      <x:c r="I4" s="4" t="n">
        <x:v>56.25</x:v>
      </x:c>
      <x:c r="J4" s="4" t="n">
        <x:v>0.11157866927691643</x:v>
      </x:c>
      <x:c r="K4" s="4" t="n">
        <x:v>36.614978286916504</x:v>
      </x:c>
      <x:c r="L4" s="4" t="n">
        <x:v>7.826022120753379</x:v>
      </x:c>
      <x:c r="M4" s="10" t="n">
        <x:v>5.233235352463458</x:v>
      </x:c>
    </x:row>
    <x:row r="5" ht="14.399999618530273" customHeight="1">
      <x:c r="A5" s="3" t="str">
        <x:v>ONSEN1-R</x:v>
      </x:c>
      <x:c r="B5" s="3" t="str">
        <x:v>ONSEN terminal candidate windows</x:v>
      </x:c>
      <x:c r="C5" s="3" t="str">
        <x:v>AT1G11265</x:v>
      </x:c>
      <x:c r="D5" s="3" t="str">
        <x:v>ONSEN</x:v>
      </x:c>
      <x:c r="E5" s="3" t="str">
        <x:v>chr1</x:v>
      </x:c>
      <x:c r="F5" s="5" t="n">
        <x:v>3784922</x:v>
      </x:c>
      <x:c r="G5" s="5" t="n">
        <x:v>3785721</x:v>
      </x:c>
      <x:c r="H5" s="5" t="n">
        <x:v>800</x:v>
      </x:c>
      <x:c r="I5" s="4" t="n">
        <x:v>46.25</x:v>
      </x:c>
      <x:c r="J5" s="4" t="n">
        <x:v>0.6626007537088328</x:v>
      </x:c>
      <x:c r="K5" s="4" t="n">
        <x:v>118.3211020844997</x:v>
      </x:c>
      <x:c r="L5" s="4" t="n">
        <x:v>7.37600719434499</x:v>
      </x:c>
      <x:c r="M5" s="10" t="n">
        <x:v>6.8987053977741954</x:v>
      </x:c>
    </x:row>
    <x:row r="6" ht="14.399999618530273" customHeight="1">
      <x:c r="A6" s="3" t="str">
        <x:v>ONSEN7-L</x:v>
      </x:c>
      <x:c r="B6" s="3" t="str">
        <x:v>ONSEN terminal candidate windows</x:v>
      </x:c>
      <x:c r="C6" s="3" t="str">
        <x:v>AT1G21945</x:v>
      </x:c>
      <x:c r="D6" s="3" t="str">
        <x:v>ONSEN</x:v>
      </x:c>
      <x:c r="E6" s="3" t="str">
        <x:v>chr1</x:v>
      </x:c>
      <x:c r="F6" s="5" t="n">
        <x:v>7717255</x:v>
      </x:c>
      <x:c r="G6" s="5" t="n">
        <x:v>7718054</x:v>
      </x:c>
      <x:c r="H6" s="5" t="n">
        <x:v>800</x:v>
      </x:c>
      <x:c r="I6" s="4" t="n">
        <x:v>48.75</x:v>
      </x:c>
      <x:c r="J6" s="4" t="n">
        <x:v>0</x:v>
      </x:c>
      <x:c r="K6" s="4" t="n">
        <x:v>1.9631725133964137</x:v>
      </x:c>
      <x:c r="L6" s="4" t="n">
        <x:v>5.331398900309782</x:v>
      </x:c>
      <x:c r="M6" s="10" t="n">
        <x:v>1.5671426212288064</x:v>
      </x:c>
    </x:row>
    <x:row r="7" ht="14.399999618530273" customHeight="1">
      <x:c r="A7" s="3" t="str">
        <x:v>ONSEN7-R</x:v>
      </x:c>
      <x:c r="B7" s="3" t="str">
        <x:v>ONSEN terminal candidate windows</x:v>
      </x:c>
      <x:c r="C7" s="3" t="str">
        <x:v>AT1G21945</x:v>
      </x:c>
      <x:c r="D7" s="3" t="str">
        <x:v>ONSEN</x:v>
      </x:c>
      <x:c r="E7" s="3" t="str">
        <x:v>chr1</x:v>
      </x:c>
      <x:c r="F7" s="5" t="n">
        <x:v>7721848</x:v>
      </x:c>
      <x:c r="G7" s="5" t="n">
        <x:v>7722647</x:v>
      </x:c>
      <x:c r="H7" s="5" t="n">
        <x:v>800</x:v>
      </x:c>
      <x:c r="I7" s="4" t="n">
        <x:v>45</x:v>
      </x:c>
      <x:c r="J7" s="4" t="n">
        <x:v>0.003832202218204062</x:v>
      </x:c>
      <x:c r="K7" s="4" t="n">
        <x:v>22.655995020781226</x:v>
      </x:c>
      <x:c r="L7" s="4" t="n">
        <x:v>8.72038809882098</x:v>
      </x:c>
      <x:c r="M7" s="10" t="n">
        <x:v>4.564133939793417</x:v>
      </x:c>
    </x:row>
    <x:row r="8" ht="14.399999618530273" customHeight="1">
      <x:c r="A8" s="3" t="str">
        <x:v>ONSEN5-L</x:v>
      </x:c>
      <x:c r="B8" s="3" t="str">
        <x:v>ONSEN terminal candidate windows</x:v>
      </x:c>
      <x:c r="C8" s="3" t="str">
        <x:v>AT1G48710</x:v>
      </x:c>
      <x:c r="D8" s="3" t="str">
        <x:v>ONSEN</x:v>
      </x:c>
      <x:c r="E8" s="3" t="str">
        <x:v>chr1</x:v>
      </x:c>
      <x:c r="F8" s="5" t="n">
        <x:v>18013162</x:v>
      </x:c>
      <x:c r="G8" s="5" t="n">
        <x:v>18013961</x:v>
      </x:c>
      <x:c r="H8" s="5" t="n">
        <x:v>800</x:v>
      </x:c>
      <x:c r="I8" s="4" t="n">
        <x:v>56.25</x:v>
      </x:c>
      <x:c r="J8" s="4" t="n">
        <x:v>0.13676544831937235</x:v>
      </x:c>
      <x:c r="K8" s="4" t="n">
        <x:v>101.33651228948571</x:v>
      </x:c>
      <x:c r="L8" s="4" t="n">
        <x:v>9.084422443719061</x:v>
      </x:c>
      <x:c r="M8" s="10" t="n">
        <x:v>6.677177160867677</x:v>
      </x:c>
    </x:row>
    <x:row r="9" ht="14.399999618530273" customHeight="1">
      <x:c r="A9" s="3" t="str">
        <x:v>ONSEN5-R</x:v>
      </x:c>
      <x:c r="B9" s="3" t="str">
        <x:v>ONSEN terminal candidate windows</x:v>
      </x:c>
      <x:c r="C9" s="3" t="str">
        <x:v>AT1G48710</x:v>
      </x:c>
      <x:c r="D9" s="3" t="str">
        <x:v>ONSEN</x:v>
      </x:c>
      <x:c r="E9" s="3" t="str">
        <x:v>chr1</x:v>
      </x:c>
      <x:c r="F9" s="5" t="n">
        <x:v>18017636</x:v>
      </x:c>
      <x:c r="G9" s="5" t="n">
        <x:v>18018435</x:v>
      </x:c>
      <x:c r="H9" s="5" t="n">
        <x:v>800</x:v>
      </x:c>
      <x:c r="I9" s="4" t="n">
        <x:v>50</x:v>
      </x:c>
      <x:c r="J9" s="4" t="n">
        <x:v>0</x:v>
      </x:c>
      <x:c r="K9" s="4" t="n">
        <x:v>68.71922751547926</x:v>
      </x:c>
      <x:c r="L9" s="4" t="n">
        <x:v>10.425619329669827</x:v>
      </x:c>
      <x:c r="M9" s="10" t="n">
        <x:v>6.123484679471997</x:v>
      </x:c>
    </x:row>
    <x:row r="10" ht="14.399999618530273" customHeight="1">
      <x:c r="A10" s="3" t="str">
        <x:v>ONSEN4-L</x:v>
      </x:c>
      <x:c r="B10" s="3" t="str">
        <x:v>ONSEN terminal candidate windows</x:v>
      </x:c>
      <x:c r="C10" s="3" t="str">
        <x:v>AT1G58140</x:v>
      </x:c>
      <x:c r="D10" s="3" t="str">
        <x:v>ONSEN</x:v>
      </x:c>
      <x:c r="E10" s="3" t="str">
        <x:v>chr1</x:v>
      </x:c>
      <x:c r="F10" s="5" t="n">
        <x:v>21524995</x:v>
      </x:c>
      <x:c r="G10" s="5" t="n">
        <x:v>21525794</x:v>
      </x:c>
      <x:c r="H10" s="5" t="n">
        <x:v>800</x:v>
      </x:c>
      <x:c r="I10" s="4" t="n">
        <x:v>42.5</x:v>
      </x:c>
      <x:c r="J10" s="4" t="n">
        <x:v>0.034622930456711325</x:v>
      </x:c>
      <x:c r="K10" s="4" t="n">
        <x:v>85.74127052131468</x:v>
      </x:c>
      <x:c r="L10" s="4" t="n">
        <x:v>9.985566495501308</x:v>
      </x:c>
      <x:c r="M10" s="10" t="n">
        <x:v>6.438646669762069</x:v>
      </x:c>
    </x:row>
    <x:row r="11" ht="14.399999618530273" customHeight="1">
      <x:c r="A11" s="3" t="str">
        <x:v>ONSEN4-R</x:v>
      </x:c>
      <x:c r="B11" s="3" t="str">
        <x:v>ONSEN terminal candidate windows</x:v>
      </x:c>
      <x:c r="C11" s="3" t="str">
        <x:v>AT1G58140</x:v>
      </x:c>
      <x:c r="D11" s="3" t="str">
        <x:v>ONSEN</x:v>
      </x:c>
      <x:c r="E11" s="3" t="str">
        <x:v>chr1</x:v>
      </x:c>
      <x:c r="F11" s="5" t="n">
        <x:v>21529052</x:v>
      </x:c>
      <x:c r="G11" s="5" t="n">
        <x:v>21529851</x:v>
      </x:c>
      <x:c r="H11" s="5" t="n">
        <x:v>800</x:v>
      </x:c>
      <x:c r="I11" s="4" t="n">
        <x:v>42.5</x:v>
      </x:c>
      <x:c r="J11" s="4" t="n">
        <x:v>0.14533966707537221</x:v>
      </x:c>
      <x:c r="K11" s="4" t="n">
        <x:v>28.018709730171896</x:v>
      </x:c>
      <x:c r="L11" s="4" t="n">
        <x:v>7.166833993976212</x:v>
      </x:c>
      <x:c r="M11" s="10" t="n">
        <x:v>4.85891146862471</x:v>
      </x:c>
    </x:row>
    <x:row r="12" ht="14.399999618530273" customHeight="1">
      <x:c r="A12" s="3" t="str">
        <x:v>ONSEN8-L</x:v>
      </x:c>
      <x:c r="B12" s="3" t="str">
        <x:v>ONSEN terminal candidate windows</x:v>
      </x:c>
      <x:c r="C12" s="3" t="str">
        <x:v>AT3G32415</x:v>
      </x:c>
      <x:c r="D12" s="3" t="str">
        <x:v>ONSEN</x:v>
      </x:c>
      <x:c r="E12" s="3" t="str">
        <x:v>chr3</x:v>
      </x:c>
      <x:c r="F12" s="5" t="n">
        <x:v>13369174</x:v>
      </x:c>
      <x:c r="G12" s="5" t="n">
        <x:v>13369973</x:v>
      </x:c>
      <x:c r="H12" s="5" t="n">
        <x:v>800</x:v>
      </x:c>
      <x:c r="I12" s="4" t="n">
        <x:v>56.25</x:v>
      </x:c>
      <x:c r="J12" s="4" t="n">
        <x:v>0</x:v>
      </x:c>
      <x:c r="K12" s="4" t="n">
        <x:v>20.489453776544188</x:v>
      </x:c>
      <x:c r="L12" s="4" t="n">
        <x:v>8.68225400510419</x:v>
      </x:c>
      <x:c r="M12" s="10" t="n">
        <x:v>4.425556907393122</x:v>
      </x:c>
    </x:row>
    <x:row r="13" ht="14.399999618530273" customHeight="1">
      <x:c r="A13" s="3" t="str">
        <x:v>ONSEN8-R</x:v>
      </x:c>
      <x:c r="B13" s="3" t="str">
        <x:v>ONSEN terminal candidate windows</x:v>
      </x:c>
      <x:c r="C13" s="3" t="str">
        <x:v>AT3G32415</x:v>
      </x:c>
      <x:c r="D13" s="3" t="str">
        <x:v>ONSEN</x:v>
      </x:c>
      <x:c r="E13" s="3" t="str">
        <x:v>chr3</x:v>
      </x:c>
      <x:c r="F13" s="5" t="n">
        <x:v>13373309</x:v>
      </x:c>
      <x:c r="G13" s="5" t="n">
        <x:v>13374108</x:v>
      </x:c>
      <x:c r="H13" s="5" t="n">
        <x:v>800</x:v>
      </x:c>
      <x:c r="I13" s="4" t="n">
        <x:v>48.75</x:v>
      </x:c>
      <x:c r="J13" s="4" t="n">
        <x:v>0.003832202218204062</x:v>
      </x:c>
      <x:c r="K13" s="4" t="n">
        <x:v>35.469520573019615</x:v>
      </x:c>
      <x:c r="L13" s="4" t="n">
        <x:v>9.365926947927706</x:v>
      </x:c>
      <x:c r="M13" s="10" t="n">
        <x:v>5.188619329069932</x:v>
      </x:c>
    </x:row>
    <x:row r="14" ht="14.399999618530273" customHeight="1">
      <x:c r="A14" s="3" t="str">
        <x:v>ONSEN6-L</x:v>
      </x:c>
      <x:c r="B14" s="3" t="str">
        <x:v>ONSEN terminal candidate windows</x:v>
      </x:c>
      <x:c r="C14" s="3" t="str">
        <x:v>AT3G59720</x:v>
      </x:c>
      <x:c r="D14" s="3" t="str">
        <x:v>ONSEN</x:v>
      </x:c>
      <x:c r="E14" s="3" t="str">
        <x:v>chr3</x:v>
      </x:c>
      <x:c r="F14" s="5" t="n">
        <x:v>22059535</x:v>
      </x:c>
      <x:c r="G14" s="5" t="n">
        <x:v>22060334</x:v>
      </x:c>
      <x:c r="H14" s="5" t="n">
        <x:v>800</x:v>
      </x:c>
      <x:c r="I14" s="4" t="n">
        <x:v>51.25</x:v>
      </x:c>
      <x:c r="J14" s="4" t="n">
        <x:v>0.026746055002056894</x:v>
      </x:c>
      <x:c r="K14" s="4" t="n">
        <x:v>38.982026113745874</x:v>
      </x:c>
      <x:c r="L14" s="4" t="n">
        <x:v>8.990350045100145</x:v>
      </x:c>
      <x:c r="M14" s="10" t="n">
        <x:v>5.321279678280262</x:v>
      </x:c>
    </x:row>
    <x:row r="15" ht="14.399999618530273" customHeight="1">
      <x:c r="A15" s="3" t="str">
        <x:v>ONSEN6-R</x:v>
      </x:c>
      <x:c r="B15" s="3" t="str">
        <x:v>ONSEN terminal candidate windows</x:v>
      </x:c>
      <x:c r="C15" s="3" t="str">
        <x:v>AT3G59720</x:v>
      </x:c>
      <x:c r="D15" s="3" t="str">
        <x:v>ONSEN</x:v>
      </x:c>
      <x:c r="E15" s="3" t="str">
        <x:v>chr3</x:v>
      </x:c>
      <x:c r="F15" s="5" t="n">
        <x:v>22063530</x:v>
      </x:c>
      <x:c r="G15" s="5" t="n">
        <x:v>22064329</x:v>
      </x:c>
      <x:c r="H15" s="5" t="n">
        <x:v>800</x:v>
      </x:c>
      <x:c r="I15" s="4" t="n">
        <x:v>41.25</x:v>
      </x:c>
      <x:c r="J15" s="4" t="n">
        <x:v>0.017167668693578456</x:v>
      </x:c>
      <x:c r="K15" s="4" t="n">
        <x:v>30.73544244397599</x:v>
      </x:c>
      <x:c r="L15" s="4" t="n">
        <x:v>8.840265631944634</x:v>
      </x:c>
      <x:c r="M15" s="10" t="n">
        <x:v>4.9880230511768895</x:v>
      </x:c>
    </x:row>
    <x:row r="16" ht="14.399999618530273" customHeight="1">
      <x:c r="A16" s="3" t="str">
        <x:v>ONSEN2-L</x:v>
      </x:c>
      <x:c r="B16" s="3" t="str">
        <x:v>ONSEN terminal candidate windows</x:v>
      </x:c>
      <x:c r="C16" s="3" t="str">
        <x:v>AT3G61330</x:v>
      </x:c>
      <x:c r="D16" s="3" t="str">
        <x:v>ONSEN</x:v>
      </x:c>
      <x:c r="E16" s="3" t="str">
        <x:v>chr3</x:v>
      </x:c>
      <x:c r="F16" s="5" t="n">
        <x:v>22695566</x:v>
      </x:c>
      <x:c r="G16" s="5" t="n">
        <x:v>22696365</x:v>
      </x:c>
      <x:c r="H16" s="5" t="n">
        <x:v>800</x:v>
      </x:c>
      <x:c r="I16" s="4" t="n">
        <x:v>46.25</x:v>
      </x:c>
      <x:c r="J16" s="4" t="n">
        <x:v>0.8804622283045324</x:v>
      </x:c>
      <x:c r="K16" s="4" t="n">
        <x:v>102.25685222209681</x:v>
      </x:c>
      <x:c r="L16" s="4" t="n">
        <x:v>6.780739474676441</x:v>
      </x:c>
      <x:c r="M16" s="10" t="n">
        <x:v>6.690093713199782</x:v>
      </x:c>
    </x:row>
    <x:row r="17" ht="14.399999618530273" customHeight="1">
      <x:c r="A17" s="3" t="str">
        <x:v>ONSEN2-R</x:v>
      </x:c>
      <x:c r="B17" s="3" t="str">
        <x:v>ONSEN terminal candidate windows</x:v>
      </x:c>
      <x:c r="C17" s="3" t="str">
        <x:v>AT3G61330</x:v>
      </x:c>
      <x:c r="D17" s="3" t="str">
        <x:v>ONSEN</x:v>
      </x:c>
      <x:c r="E17" s="3" t="str">
        <x:v>chr3</x:v>
      </x:c>
      <x:c r="F17" s="5" t="n">
        <x:v>22699723</x:v>
      </x:c>
      <x:c r="G17" s="5" t="n">
        <x:v>22700522</x:v>
      </x:c>
      <x:c r="H17" s="5" t="n">
        <x:v>800</x:v>
      </x:c>
      <x:c r="I17" s="4" t="n">
        <x:v>56.25</x:v>
      </x:c>
      <x:c r="J17" s="4" t="n">
        <x:v>0.022866399927376355</x:v>
      </x:c>
      <x:c r="K17" s="4" t="n">
        <x:v>55.14182011324405</x:v>
      </x:c>
      <x:c r="L17" s="4" t="n">
        <x:v>9.564985034139115</x:v>
      </x:c>
      <x:c r="M17" s="10" t="n">
        <x:v>5.811003931551932</x:v>
      </x:c>
    </x:row>
    <x:row r="18" ht="14.399999618530273" customHeight="1">
      <x:c r="A18" s="3" t="str">
        <x:v>ONSEN3-L</x:v>
      </x:c>
      <x:c r="B18" s="3" t="str">
        <x:v>ONSEN terminal candidate windows</x:v>
      </x:c>
      <x:c r="C18" s="3" t="str">
        <x:v>AT5G13205</x:v>
      </x:c>
      <x:c r="D18" s="3" t="str">
        <x:v>ONSEN</x:v>
      </x:c>
      <x:c r="E18" s="3" t="str">
        <x:v>chr5</x:v>
      </x:c>
      <x:c r="F18" s="5" t="n">
        <x:v>4208083</x:v>
      </x:c>
      <x:c r="G18" s="5" t="n">
        <x:v>4208882</x:v>
      </x:c>
      <x:c r="H18" s="5" t="n">
        <x:v>800</x:v>
      </x:c>
      <x:c r="I18" s="4" t="n">
        <x:v>51.25</x:v>
      </x:c>
      <x:c r="J18" s="4" t="n">
        <x:v>1.7321608622430231</x:v>
      </x:c>
      <x:c r="K18" s="4" t="n">
        <x:v>82.18050747720234</x:v>
      </x:c>
      <x:c r="L18" s="4" t="n">
        <x:v>5.527974263288773</x:v>
      </x:c>
      <x:c r="M18" s="10" t="n">
        <x:v>6.378173581658237</x:v>
      </x:c>
    </x:row>
    <x:row r="19" ht="14.399999618530273" customHeight="1">
      <x:c r="A19" s="3" t="str">
        <x:v>ONSEN3-R</x:v>
      </x:c>
      <x:c r="B19" s="3" t="str">
        <x:v>ONSEN terminal candidate windows</x:v>
      </x:c>
      <x:c r="C19" s="3" t="str">
        <x:v>AT5G13205</x:v>
      </x:c>
      <x:c r="D19" s="3" t="str">
        <x:v>ONSEN</x:v>
      </x:c>
      <x:c r="E19" s="3" t="str">
        <x:v>chr5</x:v>
      </x:c>
      <x:c r="F19" s="5" t="n">
        <x:v>4212285</x:v>
      </x:c>
      <x:c r="G19" s="5" t="n">
        <x:v>4213084</x:v>
      </x:c>
      <x:c r="H19" s="5" t="n">
        <x:v>800</x:v>
      </x:c>
      <x:c r="I19" s="4" t="n">
        <x:v>61.25</x:v>
      </x:c>
      <x:c r="J19" s="4" t="n">
        <x:v>0.35904110286456653</x:v>
      </x:c>
      <x:c r="K19" s="4" t="n">
        <x:v>36.92371368817399</x:v>
      </x:c>
      <x:c r="L19" s="4" t="n">
        <x:v>6.498110325789846</x:v>
      </x:c>
      <x:c r="M19" s="10" t="n">
        <x:v>5.245028342276897</x:v>
      </x:c>
    </x:row>
    <x:row r="20" ht="14.399999618530273" customHeight="1">
      <x:c r="A20" s="3" t="str">
        <x:v>ATCOPIA88_5</x:v>
      </x:c>
      <x:c r="B20" s="3" t="str">
        <x:v>HSF-rich non-ONSEN TE regions</x:v>
      </x:c>
      <x:c r="C20" s="3" t="str">
        <x:v>AT1TE36340</x:v>
      </x:c>
      <x:c r="D20" s="3" t="str">
        <x:v>ATCOPIA88</x:v>
      </x:c>
      <x:c r="E20" s="3" t="str">
        <x:v>chr1</x:v>
      </x:c>
      <x:c r="F20" s="5" t="n">
        <x:v>11239005</x:v>
      </x:c>
      <x:c r="G20" s="5" t="n">
        <x:v>11239335</x:v>
      </x:c>
      <x:c r="H20" s="5" t="n">
        <x:v>331</x:v>
      </x:c>
      <x:c r="I20" s="4" t="n">
        <x:v>81.570996978852</x:v>
      </x:c>
      <x:c r="J20" s="4" t="n">
        <x:v>0</x:v>
      </x:c>
      <x:c r="K20" s="4" t="n">
        <x:v>0.15606017423217833</x:v>
      </x:c>
      <x:c r="L20" s="4" t="n">
        <x:v>2.043065698522228</x:v>
      </x:c>
      <x:c r="M20" s="10" t="n">
        <x:v>0.209216493692359</x:v>
      </x:c>
    </x:row>
    <x:row r="21" ht="14.399999618530273" customHeight="1">
      <x:c r="A21" s="3" t="str">
        <x:v>ATHILA4A_1</x:v>
      </x:c>
      <x:c r="B21" s="3" t="str">
        <x:v>HSF-rich non-ONSEN TE regions</x:v>
      </x:c>
      <x:c r="C21" s="3" t="str">
        <x:v>AT1TE44520</x:v>
      </x:c>
      <x:c r="D21" s="3" t="str">
        <x:v>ATHILA4A</x:v>
      </x:c>
      <x:c r="E21" s="3" t="str">
        <x:v>chr1</x:v>
      </x:c>
      <x:c r="F21" s="5" t="n">
        <x:v>13592847</x:v>
      </x:c>
      <x:c r="G21" s="5" t="n">
        <x:v>13593057</x:v>
      </x:c>
      <x:c r="H21" s="5" t="n">
        <x:v>211</x:v>
      </x:c>
      <x:c r="I21" s="4" t="n">
        <x:v>137.440758293839</x:v>
      </x:c>
      <x:c r="J21" s="4" t="n">
        <x:v>0</x:v>
      </x:c>
      <x:c r="K21" s="4" t="n">
        <x:v>0.01789848323957392</x:v>
      </x:c>
      <x:c r="L21" s="4" t="n">
        <x:v>0.4414512520835917</x:v>
      </x:c>
      <x:c r="M21" s="10" t="n">
        <x:v>0.025593686138724987</x:v>
      </x:c>
    </x:row>
    <x:row r="22" ht="14.399999618530273" customHeight="1">
      <x:c r="A22" s="3" t="str">
        <x:v>ATHILA4A_9</x:v>
      </x:c>
      <x:c r="B22" s="3" t="str">
        <x:v>HSF-rich non-ONSEN TE regions</x:v>
      </x:c>
      <x:c r="C22" s="3" t="str">
        <x:v>AT1TE47115</x:v>
      </x:c>
      <x:c r="D22" s="3" t="str">
        <x:v>ATHILA4A</x:v>
      </x:c>
      <x:c r="E22" s="3" t="str">
        <x:v>chr1</x:v>
      </x:c>
      <x:c r="F22" s="5" t="n">
        <x:v>14341291</x:v>
      </x:c>
      <x:c r="G22" s="5" t="n">
        <x:v>14341670</x:v>
      </x:c>
      <x:c r="H22" s="5" t="n">
        <x:v>380</x:v>
      </x:c>
      <x:c r="I22" s="4" t="n">
        <x:v>71.0526315789474</x:v>
      </x:c>
      <x:c r="J22" s="4" t="n">
        <x:v>0</x:v>
      </x:c>
      <x:c r="K22" s="4" t="n">
        <x:v>0</x:v>
      </x:c>
      <x:c r="L22" s="4" t="n">
        <x:v>0</x:v>
      </x:c>
      <x:c r="M22" s="10" t="n">
        <x:v>0</x:v>
      </x:c>
    </x:row>
    <x:row r="23" ht="14.399999618530273" customHeight="1">
      <x:c r="A23" s="3" t="str">
        <x:v>ATHILA4A_10</x:v>
      </x:c>
      <x:c r="B23" s="3" t="str">
        <x:v>HSF-rich non-ONSEN TE regions</x:v>
      </x:c>
      <x:c r="C23" s="3" t="str">
        <x:v>AT1TE47330</x:v>
      </x:c>
      <x:c r="D23" s="3" t="str">
        <x:v>ATHILA4A</x:v>
      </x:c>
      <x:c r="E23" s="3" t="str">
        <x:v>chr1</x:v>
      </x:c>
      <x:c r="F23" s="5" t="n">
        <x:v>14384612</x:v>
      </x:c>
      <x:c r="G23" s="5" t="n">
        <x:v>14384991</x:v>
      </x:c>
      <x:c r="H23" s="5" t="n">
        <x:v>380</x:v>
      </x:c>
      <x:c r="I23" s="4" t="n">
        <x:v>71.0526315789474</x:v>
      </x:c>
      <x:c r="J23" s="4" t="n">
        <x:v>0</x:v>
      </x:c>
      <x:c r="K23" s="4" t="n">
        <x:v>0</x:v>
      </x:c>
      <x:c r="L23" s="4" t="n">
        <x:v>0</x:v>
      </x:c>
      <x:c r="M23" s="10" t="n">
        <x:v>0</x:v>
      </x:c>
    </x:row>
    <x:row r="24" ht="14.399999618530273" customHeight="1">
      <x:c r="A24" s="3" t="str">
        <x:v>ATHILA4A_3</x:v>
      </x:c>
      <x:c r="B24" s="3" t="str">
        <x:v>HSF-rich non-ONSEN TE regions</x:v>
      </x:c>
      <x:c r="C24" s="3" t="str">
        <x:v>AT1TE51750</x:v>
      </x:c>
      <x:c r="D24" s="3" t="str">
        <x:v>ATHILA4A</x:v>
      </x:c>
      <x:c r="E24" s="3" t="str">
        <x:v>chr1</x:v>
      </x:c>
      <x:c r="F24" s="5" t="n">
        <x:v>15719723</x:v>
      </x:c>
      <x:c r="G24" s="5" t="n">
        <x:v>15720075</x:v>
      </x:c>
      <x:c r="H24" s="5" t="n">
        <x:v>353</x:v>
      </x:c>
      <x:c r="I24" s="4" t="n">
        <x:v>93.4844192634561</x:v>
      </x:c>
      <x:c r="J24" s="4" t="n">
        <x:v>0</x:v>
      </x:c>
      <x:c r="K24" s="4" t="n">
        <x:v>0</x:v>
      </x:c>
      <x:c r="L24" s="4" t="n">
        <x:v>0</x:v>
      </x:c>
      <x:c r="M24" s="10" t="n">
        <x:v>0</x:v>
      </x:c>
    </x:row>
    <x:row r="25" ht="14.399999618530273" customHeight="1">
      <x:c r="A25" s="3" t="str">
        <x:v>ATCOPIA78_4</x:v>
      </x:c>
      <x:c r="B25" s="3" t="str">
        <x:v>Additional ATCOPIA78 candidate regions</x:v>
      </x:c>
      <x:c r="C25" s="3" t="str">
        <x:v>AT1TE57015</x:v>
      </x:c>
      <x:c r="D25" s="3" t="str">
        <x:v>ATCOPIA78</x:v>
      </x:c>
      <x:c r="E25" s="3" t="str">
        <x:v>chr1</x:v>
      </x:c>
      <x:c r="F25" s="5" t="n">
        <x:v>17201388</x:v>
      </x:c>
      <x:c r="G25" s="5" t="n">
        <x:v>17202175</x:v>
      </x:c>
      <x:c r="H25" s="5" t="n">
        <x:v>788</x:v>
      </x:c>
      <x:c r="I25" s="4" t="n">
        <x:v>85.0253807106599</x:v>
      </x:c>
      <x:c r="J25" s="4" t="n">
        <x:v>0</x:v>
      </x:c>
      <x:c r="K25" s="4" t="n">
        <x:v>3.098008412162239</x:v>
      </x:c>
      <x:c r="L25" s="4" t="n">
        <x:v>5.976367490932422</x:v>
      </x:c>
      <x:c r="M25" s="10" t="n">
        <x:v>2.0349229458358087</x:v>
      </x:c>
    </x:row>
    <x:row r="26" ht="14.399999618530273" customHeight="1">
      <x:c r="A26" s="3" t="str">
        <x:v>ATCOPIA78_2</x:v>
      </x:c>
      <x:c r="B26" s="3" t="str">
        <x:v>Additional ATCOPIA78 candidate regions</x:v>
      </x:c>
      <x:c r="C26" s="3" t="str">
        <x:v>AT2TE45420</x:v>
      </x:c>
      <x:c r="D26" s="3" t="str">
        <x:v>ATCOPIA78</x:v>
      </x:c>
      <x:c r="E26" s="3" t="str">
        <x:v>chr2</x:v>
      </x:c>
      <x:c r="F26" s="5" t="n">
        <x:v>10582288</x:v>
      </x:c>
      <x:c r="G26" s="5" t="n">
        <x:v>10582517</x:v>
      </x:c>
      <x:c r="H26" s="5" t="n">
        <x:v>230</x:v>
      </x:c>
      <x:c r="I26" s="4" t="n">
        <x:v>134.782608695652</x:v>
      </x:c>
      <x:c r="J26" s="4" t="n">
        <x:v>0</x:v>
      </x:c>
      <x:c r="K26" s="4" t="n">
        <x:v>0.03579696647914784</x:v>
      </x:c>
      <x:c r="L26" s="4" t="n">
        <x:v>0.7789985444125416</x:v>
      </x:c>
      <x:c r="M26" s="10" t="n">
        <x:v>0.05074123839130568</x:v>
      </x:c>
    </x:row>
    <x:row r="27" ht="14.399999618530273" customHeight="1">
      <x:c r="A27" s="3" t="str">
        <x:v>ATHILA4D_LTR_6</x:v>
      </x:c>
      <x:c r="B27" s="3" t="str">
        <x:v>HSF-rich non-ONSEN TE regions</x:v>
      </x:c>
      <x:c r="C27" s="3" t="str">
        <x:v>AT2TE49215</x:v>
      </x:c>
      <x:c r="D27" s="3" t="str">
        <x:v>ATHILA4D_LTR</x:v>
      </x:c>
      <x:c r="E27" s="3" t="str">
        <x:v>chr2</x:v>
      </x:c>
      <x:c r="F27" s="5" t="n">
        <x:v>11378541</x:v>
      </x:c>
      <x:c r="G27" s="5" t="n">
        <x:v>11379063</x:v>
      </x:c>
      <x:c r="H27" s="5" t="n">
        <x:v>523</x:v>
      </x:c>
      <x:c r="I27" s="4" t="n">
        <x:v>80.3059273422562</x:v>
      </x:c>
      <x:c r="J27" s="4" t="n">
        <x:v>0</x:v>
      </x:c>
      <x:c r="K27" s="4" t="n">
        <x:v>0</x:v>
      </x:c>
      <x:c r="L27" s="4" t="n">
        <x:v>0</x:v>
      </x:c>
      <x:c r="M27" s="10" t="n">
        <x:v>0</x:v>
      </x:c>
    </x:row>
    <x:row r="28" ht="14.399999618530273" customHeight="1">
      <x:c r="A28" s="3" t="str">
        <x:v>ATHILA8B_7</x:v>
      </x:c>
      <x:c r="B28" s="3" t="str">
        <x:v>HSF-rich non-ONSEN TE regions</x:v>
      </x:c>
      <x:c r="C28" s="3" t="str">
        <x:v>AT5TE37570</x:v>
      </x:c>
      <x:c r="D28" s="3" t="str">
        <x:v>ATHILA8B</x:v>
      </x:c>
      <x:c r="E28" s="3" t="str">
        <x:v>chr5</x:v>
      </x:c>
      <x:c r="F28" s="5" t="n">
        <x:v>10286541</x:v>
      </x:c>
      <x:c r="G28" s="5" t="n">
        <x:v>10286846</x:v>
      </x:c>
      <x:c r="H28" s="5" t="n">
        <x:v>306</x:v>
      </x:c>
      <x:c r="I28" s="4" t="n">
        <x:v>75.1633986928105</x:v>
      </x:c>
      <x:c r="J28" s="4" t="n">
        <x:v>0</x:v>
      </x:c>
      <x:c r="K28" s="4" t="n">
        <x:v>0</x:v>
      </x:c>
      <x:c r="L28" s="4" t="n">
        <x:v>0</x:v>
      </x:c>
      <x:c r="M28" s="10" t="n">
        <x:v>0</x:v>
      </x:c>
    </x:row>
    <x:row r="29" ht="14.399999618530273" customHeight="1">
      <x:c r="A29" s="3" t="str">
        <x:v>ATHILA4A_8</x:v>
      </x:c>
      <x:c r="B29" s="3" t="str">
        <x:v>HSF-rich non-ONSEN TE regions</x:v>
      </x:c>
      <x:c r="C29" s="3" t="str">
        <x:v>AT5TE45145</x:v>
      </x:c>
      <x:c r="D29" s="3" t="str">
        <x:v>ATHILA4A</x:v>
      </x:c>
      <x:c r="E29" s="3" t="str">
        <x:v>chr5</x:v>
      </x:c>
      <x:c r="F29" s="5" t="n">
        <x:v>12779758</x:v>
      </x:c>
      <x:c r="G29" s="5" t="n">
        <x:v>12780043</x:v>
      </x:c>
      <x:c r="H29" s="5" t="n">
        <x:v>286</x:v>
      </x:c>
      <x:c r="I29" s="4" t="n">
        <x:v>73.4265734265734</x:v>
      </x:c>
      <x:c r="J29" s="4" t="n">
        <x:v>0</x:v>
      </x:c>
      <x:c r="K29" s="4" t="n">
        <x:v>0</x:v>
      </x:c>
      <x:c r="L29" s="4" t="n">
        <x:v>0</x:v>
      </x:c>
      <x:c r="M29" s="10" t="n">
        <x:v>0</x:v>
      </x:c>
    </x:row>
    <x:row r="31" ht="42" customHeight="1">
      <x:c r="A31" s="7" t="str">
        <x:v>Note: Fig. 5C shows 16 curated ONSEN terminal windows plus two additional ATCOPIA78 candidate regions in the ONSEN/ATCOPIA78 class, and the fixed eight-region HSF-rich non-ONSEN TE subset. Bubble size uses max[0, descriptive log2FC]; the x-coordinate is log2(mean HS CPM + 1).</x:v>
      </x:c>
      <x:c r="B31" s="7" t="str">
        <x:v>Note: Fig. 5C shows 16 curated ONSEN terminal windows plus two additional ATCOPIA78 candidate regions in the ONSEN/ATCOPIA78 class, and the fixed eight-region HSF-rich non-ONSEN TE subset. Bubble size uses max[0, descriptive log2FC]; the x-coordinate is log2(mean HS CPM + 1).</x:v>
      </x:c>
      <x:c r="C31" s="7" t="str">
        <x:v>Note: Fig. 5C shows 16 curated ONSEN terminal windows plus two additional ATCOPIA78 candidate regions in the ONSEN/ATCOPIA78 class, and the fixed eight-region HSF-rich non-ONSEN TE subset. Bubble size uses max[0, descriptive log2FC]; the x-coordinate is log2(mean HS CPM + 1).</x:v>
      </x:c>
      <x:c r="D31" s="7" t="str">
        <x:v>Note: Fig. 5C shows 16 curated ONSEN terminal windows plus two additional ATCOPIA78 candidate regions in the ONSEN/ATCOPIA78 class, and the fixed eight-region HSF-rich non-ONSEN TE subset. Bubble size uses max[0, descriptive log2FC]; the x-coordinate is log2(mean HS CPM + 1).</x:v>
      </x:c>
      <x:c r="E31" s="7" t="str">
        <x:v>Note: Fig. 5C shows 16 curated ONSEN terminal windows plus two additional ATCOPIA78 candidate regions in the ONSEN/ATCOPIA78 class, and the fixed eight-region HSF-rich non-ONSEN TE subset. Bubble size uses max[0, descriptive log2FC]; the x-coordinate is log2(mean HS CPM + 1).</x:v>
      </x:c>
      <x:c r="F31" s="7" t="str">
        <x:v>Note: Fig. 5C shows 16 curated ONSEN terminal windows plus two additional ATCOPIA78 candidate regions in the ONSEN/ATCOPIA78 class, and the fixed eight-region HSF-rich non-ONSEN TE subset. Bubble size uses max[0, descriptive log2FC]; the x-coordinate is log2(mean HS CPM + 1).</x:v>
      </x:c>
      <x:c r="G31" s="7" t="str">
        <x:v>Note: Fig. 5C shows 16 curated ONSEN terminal windows plus two additional ATCOPIA78 candidate regions in the ONSEN/ATCOPIA78 class, and the fixed eight-region HSF-rich non-ONSEN TE subset. Bubble size uses max[0, descriptive log2FC]; the x-coordinate is log2(mean HS CPM + 1).</x:v>
      </x:c>
      <x:c r="H31" s="7" t="str">
        <x:v>Note: Fig. 5C shows 16 curated ONSEN terminal windows plus two additional ATCOPIA78 candidate regions in the ONSEN/ATCOPIA78 class, and the fixed eight-region HSF-rich non-ONSEN TE subset. Bubble size uses max[0, descriptive log2FC]; the x-coordinate is log2(mean HS CPM + 1).</x:v>
      </x:c>
      <x:c r="I31" s="7" t="str">
        <x:v>Note: Fig. 5C shows 16 curated ONSEN terminal windows plus two additional ATCOPIA78 candidate regions in the ONSEN/ATCOPIA78 class, and the fixed eight-region HSF-rich non-ONSEN TE subset. Bubble size uses max[0, descriptive log2FC]; the x-coordinate is log2(mean HS CPM + 1).</x:v>
      </x:c>
      <x:c r="J31" s="7" t="str">
        <x:v>Note: Fig. 5C shows 16 curated ONSEN terminal windows plus two additional ATCOPIA78 candidate regions in the ONSEN/ATCOPIA78 class, and the fixed eight-region HSF-rich non-ONSEN TE subset. Bubble size uses max[0, descriptive log2FC]; the x-coordinate is log2(mean HS CPM + 1).</x:v>
      </x:c>
      <x:c r="K31" s="7" t="str">
        <x:v>Note: Fig. 5C shows 16 curated ONSEN terminal windows plus two additional ATCOPIA78 candidate regions in the ONSEN/ATCOPIA78 class, and the fixed eight-region HSF-rich non-ONSEN TE subset. Bubble size uses max[0, descriptive log2FC]; the x-coordinate is log2(mean HS CPM + 1).</x:v>
      </x:c>
      <x:c r="L31" s="7" t="str">
        <x:v>Note: Fig. 5C shows 16 curated ONSEN terminal windows plus two additional ATCOPIA78 candidate regions in the ONSEN/ATCOPIA78 class, and the fixed eight-region HSF-rich non-ONSEN TE subset. Bubble size uses max[0, descriptive log2FC]; the x-coordinate is log2(mean HS CPM + 1).</x:v>
      </x:c>
      <x:c r="M31" s="7" t="str">
        <x:v>Note: Fig. 5C shows 16 curated ONSEN terminal windows plus two additional ATCOPIA78 candidate regions in the ONSEN/ATCOPIA78 class, and the fixed eight-region HSF-rich non-ONSEN TE subset. Bubble size uses max[0, descriptive log2FC]; the x-coordinate is log2(mean HS CPM + 1).</x:v>
      </x:c>
    </x:row>
  </x:sheetData>
  <x:mergeCells>
    <x:mergeCell ref="A1:M1"/>
    <x:mergeCell ref="A31:M3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19" customWidth="1"/>
    <x:col min="2" max="2" width="31" customWidth="1"/>
    <x:col min="3" max="8" width="14" customWidth="1"/>
  </x:cols>
  <x:sheetData>
    <x:row r="1" ht="42" customHeight="1">
      <x:c r="A1" s="6" t="str">
        <x:v>Table S10. Heat-associated RNA-seq signal across curated ONSEN terminal candidate windows, two additional ATCOPIA78 candidate regions and the fixed HSF-rich non-ONSEN TE subset.</x:v>
      </x:c>
      <x:c r="B1" s="6" t="str">
        <x:v>Table S10. Heat-associated RNA-seq signal across curated ONSEN terminal candidate windows, two additional ATCOPIA78 candidate regions and the fixed HSF-rich non-ONSEN TE subset.</x:v>
      </x:c>
      <x:c r="C1" s="6" t="str">
        <x:v>Table S10. Heat-associated RNA-seq signal across curated ONSEN terminal candidate windows, two additional ATCOPIA78 candidate regions and the fixed HSF-rich non-ONSEN TE subset.</x:v>
      </x:c>
      <x:c r="D1" s="6" t="str">
        <x:v>Table S10. Heat-associated RNA-seq signal across curated ONSEN terminal candidate windows, two additional ATCOPIA78 candidate regions and the fixed HSF-rich non-ONSEN TE subset.</x:v>
      </x:c>
      <x:c r="E1" s="6" t="str">
        <x:v>Table S10. Heat-associated RNA-seq signal across curated ONSEN terminal candidate windows, two additional ATCOPIA78 candidate regions and the fixed HSF-rich non-ONSEN TE subset.</x:v>
      </x:c>
      <x:c r="F1" s="6" t="str">
        <x:v>Table S10. Heat-associated RNA-seq signal across curated ONSEN terminal candidate windows, two additional ATCOPIA78 candidate regions and the fixed HSF-rich non-ONSEN TE subset.</x:v>
      </x:c>
      <x:c r="G1" s="6" t="str">
        <x:v>Table S10. Heat-associated RNA-seq signal across curated ONSEN terminal candidate windows, two additional ATCOPIA78 candidate regions and the fixed HSF-rich non-ONSEN TE subset.</x:v>
      </x:c>
      <x:c r="H1" s="6" t="str">
        <x:v>Table S10. Heat-associated RNA-seq signal across curated ONSEN terminal candidate windows, two additional ATCOPIA78 candidate regions and the fixed HSF-rich non-ONSEN TE subset.</x:v>
      </x:c>
    </x:row>
    <x:row r="3" ht="24" customHeight="1">
      <x:c r="A3" s="2" t="s">
        <x:v>0</x:v>
      </x:c>
      <x:c r="B3" s="2" t="s">
        <x:v>1</x:v>
      </x:c>
      <x:c r="C3" s="2" t="s">
        <x:v>10</x:v>
      </x:c>
      <x:c r="D3" s="2" t="s">
        <x:v>11</x:v>
      </x:c>
      <x:c r="E3" s="2" t="s">
        <x:v>12</x:v>
      </x:c>
      <x:c r="F3" s="2" t="s">
        <x:v>13</x:v>
      </x:c>
      <x:c r="G3" s="2" t="s">
        <x:v>14</x:v>
      </x:c>
      <x:c r="H3" s="2" t="s">
        <x:v>15</x:v>
      </x:c>
    </x:row>
    <x:row r="4" ht="14.399999618530273" customHeight="1">
      <x:c r="A4" s="3" t="str">
        <x:v>ONSEN1-L</x:v>
      </x:c>
      <x:c r="B4" s="3" t="str">
        <x:v>ONSEN terminal candidate windows</x:v>
      </x:c>
      <x:c r="C4" s="4" t="n">
        <x:v>0.04690855681204651</x:v>
      </x:c>
      <x:c r="D4" s="4" t="n">
        <x:v>0.18331284506768292</x:v>
      </x:c>
      <x:c r="E4" s="4" t="n">
        <x:v>0.10451460595101986</x:v>
      </x:c>
      <x:c r="F4" s="4" t="n">
        <x:v>33.047206794348</x:v>
      </x:c>
      <x:c r="G4" s="4" t="n">
        <x:v>37.44594383104191</x:v>
      </x:c>
      <x:c r="H4" s="4" t="n">
        <x:v>39.35178423535961</x:v>
      </x:c>
    </x:row>
    <x:row r="5" ht="14.399999618530273" customHeight="1">
      <x:c r="A5" s="3" t="str">
        <x:v>ONSEN1-R</x:v>
      </x:c>
      <x:c r="B5" s="3" t="str">
        <x:v>ONSEN terminal candidate windows</x:v>
      </x:c>
      <x:c r="C5" s="4" t="n">
        <x:v>1.1522575571801201</x:v>
      </x:c>
      <x:c r="D5" s="4" t="n">
        <x:v>0.2666368655529934</x:v>
      </x:c>
      <x:c r="E5" s="4" t="n">
        <x:v>0.5689078383933847</x:v>
      </x:c>
      <x:c r="F5" s="4" t="n">
        <x:v>120.20598976819899</x:v>
      </x:c>
      <x:c r="G5" s="4" t="n">
        <x:v>117.12776869549076</x:v>
      </x:c>
      <x:c r="H5" s="4" t="n">
        <x:v>117.62954778980937</x:v>
      </x:c>
    </x:row>
    <x:row r="6" ht="14.399999618530273" customHeight="1">
      <x:c r="A6" s="3" t="str">
        <x:v>ONSEN7-L</x:v>
      </x:c>
      <x:c r="B6" s="3" t="str">
        <x:v>ONSEN terminal candidate windows</x:v>
      </x:c>
      <x:c r="C6" s="4" t="n">
        <x:v>0</x:v>
      </x:c>
      <x:c r="D6" s="4" t="n">
        <x:v>0</x:v>
      </x:c>
      <x:c r="E6" s="4" t="n">
        <x:v>0</x:v>
      </x:c>
      <x:c r="F6" s="4" t="n">
        <x:v>2.299454399531056</x:v>
      </x:c>
      <x:c r="G6" s="4" t="n">
        <x:v>2.265396396097319</x:v>
      </x:c>
      <x:c r="H6" s="4" t="n">
        <x:v>1.324666744560866</x:v>
      </x:c>
    </x:row>
    <x:row r="7" ht="14.399999618530273" customHeight="1">
      <x:c r="A7" s="3" t="str">
        <x:v>ONSEN7-R</x:v>
      </x:c>
      <x:c r="B7" s="3" t="str">
        <x:v>ONSEN terminal candidate windows</x:v>
      </x:c>
      <x:c r="C7" s="4" t="n">
        <x:v>0</x:v>
      </x:c>
      <x:c r="D7" s="4" t="n">
        <x:v>0</x:v>
      </x:c>
      <x:c r="E7" s="4" t="n">
        <x:v>0.011496606654612185</x:v>
      </x:c>
      <x:c r="F7" s="4" t="n">
        <x:v>21.898374868834818</x:v>
      </x:c>
      <x:c r="G7" s="4" t="n">
        <x:v>24.203749159050982</x:v>
      </x:c>
      <x:c r="H7" s="4" t="n">
        <x:v>21.865861034457875</x:v>
      </x:c>
    </x:row>
    <x:row r="8" ht="14.399999618530273" customHeight="1">
      <x:c r="A8" s="3" t="str">
        <x:v>ONSEN5-L</x:v>
      </x:c>
      <x:c r="B8" s="3" t="str">
        <x:v>ONSEN terminal candidate windows</x:v>
      </x:c>
      <x:c r="C8" s="4" t="n">
        <x:v>0.38796550746805386</x:v>
      </x:c>
      <x:c r="D8" s="4" t="n">
        <x:v>0.022330837490063194</x:v>
      </x:c>
      <x:c r="E8" s="4" t="n">
        <x:v>0</x:v>
      </x:c>
      <x:c r="F8" s="4" t="n">
        <x:v>91.50094645659787</x:v>
      </x:c>
      <x:c r="G8" s="4" t="n">
        <x:v>107.12106820342125</x:v>
      </x:c>
      <x:c r="H8" s="4" t="n">
        <x:v>105.387522208438</x:v>
      </x:c>
    </x:row>
    <x:row r="9" ht="14.399999618530273" customHeight="1">
      <x:c r="A9" s="3" t="str">
        <x:v>ONSEN5-R</x:v>
      </x:c>
      <x:c r="B9" s="3" t="str">
        <x:v>ONSEN terminal candidate windows</x:v>
      </x:c>
      <x:c r="C9" s="4" t="n">
        <x:v>0</x:v>
      </x:c>
      <x:c r="D9" s="4" t="n">
        <x:v>0</x:v>
      </x:c>
      <x:c r="E9" s="4" t="n">
        <x:v>0</x:v>
      </x:c>
      <x:c r="F9" s="4" t="n">
        <x:v>61.921468609884165</x:v>
      </x:c>
      <x:c r="G9" s="4" t="n">
        <x:v>74.57388528947278</x:v>
      </x:c>
      <x:c r="H9" s="4" t="n">
        <x:v>69.66232864708084</x:v>
      </x:c>
    </x:row>
    <x:row r="10" ht="14.399999618530273" customHeight="1">
      <x:c r="A10" s="3" t="str">
        <x:v>ONSEN4-L</x:v>
      </x:c>
      <x:c r="B10" s="3" t="str">
        <x:v>ONSEN terminal candidate windows</x:v>
      </x:c>
      <x:c r="C10" s="4" t="n">
        <x:v>0.0705391831760098</x:v>
      </x:c>
      <x:c r="D10" s="4" t="n">
        <x:v>0.03332960819412417</x:v>
      </x:c>
      <x:c r="E10" s="4" t="n">
        <x:v>0</x:v>
      </x:c>
      <x:c r="F10" s="4" t="n">
        <x:v>84.35417382858282</x:v>
      </x:c>
      <x:c r="G10" s="4" t="n">
        <x:v>84.20287856933315</x:v>
      </x:c>
      <x:c r="H10" s="4" t="n">
        <x:v>88.66675916602804</x:v>
      </x:c>
    </x:row>
    <x:row r="11" ht="14.399999618530273" customHeight="1">
      <x:c r="A11" s="3" t="str">
        <x:v>ONSEN4-R</x:v>
      </x:c>
      <x:c r="B11" s="3" t="str">
        <x:v>ONSEN terminal candidate windows</x:v>
      </x:c>
      <x:c r="C11" s="4" t="n">
        <x:v>0.15271733157606118</x:v>
      </x:c>
      <x:c r="D11" s="4" t="n">
        <x:v>0.28330166965005543</x:v>
      </x:c>
      <x:c r="E11" s="4" t="n">
        <x:v>0</x:v>
      </x:c>
      <x:c r="F11" s="4" t="n">
        <x:v>25.35735113523109</x:v>
      </x:c>
      <x:c r="G11" s="4" t="n">
        <x:v>28.836590648714676</x:v>
      </x:c>
      <x:c r="H11" s="4" t="n">
        <x:v>29.862187406569916</x:v>
      </x:c>
    </x:row>
    <x:row r="12" ht="14.399999618530273" customHeight="1">
      <x:c r="A12" s="3" t="str">
        <x:v>ONSEN8-L</x:v>
      </x:c>
      <x:c r="B12" s="3" t="str">
        <x:v>ONSEN terminal candidate windows</x:v>
      </x:c>
      <x:c r="C12" s="4" t="n">
        <x:v>0</x:v>
      </x:c>
      <x:c r="D12" s="4" t="n">
        <x:v>0</x:v>
      </x:c>
      <x:c r="E12" s="4" t="n">
        <x:v>0</x:v>
      </x:c>
      <x:c r="F12" s="4" t="n">
        <x:v>15.82443088399413</x:v>
      </x:c>
      <x:c r="G12" s="4" t="n">
        <x:v>22.72510164219643</x:v>
      </x:c>
      <x:c r="H12" s="4" t="n">
        <x:v>22.918828803442008</x:v>
      </x:c>
    </x:row>
    <x:row r="13" ht="14.399999618530273" customHeight="1">
      <x:c r="A13" s="3" t="str">
        <x:v>ONSEN8-R</x:v>
      </x:c>
      <x:c r="B13" s="3" t="str">
        <x:v>ONSEN terminal candidate windows</x:v>
      </x:c>
      <x:c r="C13" s="4" t="n">
        <x:v>0</x:v>
      </x:c>
      <x:c r="D13" s="4" t="n">
        <x:v>0</x:v>
      </x:c>
      <x:c r="E13" s="4" t="n">
        <x:v>0.011496606654612185</x:v>
      </x:c>
      <x:c r="F13" s="4" t="n">
        <x:v>32.92675322873907</x:v>
      </x:c>
      <x:c r="G13" s="4" t="n">
        <x:v>38.50835122502474</x:v>
      </x:c>
      <x:c r="H13" s="4" t="n">
        <x:v>34.973457265295046</x:v>
      </x:c>
    </x:row>
    <x:row r="14" ht="14.399999618530273" customHeight="1">
      <x:c r="A14" s="3" t="str">
        <x:v>ONSEN6-L</x:v>
      </x:c>
      <x:c r="B14" s="3" t="str">
        <x:v>ONSEN terminal candidate windows</x:v>
      </x:c>
      <x:c r="C14" s="4" t="n">
        <x:v>0.04690855681204651</x:v>
      </x:c>
      <x:c r="D14" s="4" t="n">
        <x:v>0.03332960819412417</x:v>
      </x:c>
      <x:c r="E14" s="4" t="n">
        <x:v>0</x:v>
      </x:c>
      <x:c r="F14" s="4" t="n">
        <x:v>36.772514646986856</x:v>
      </x:c>
      <x:c r="G14" s="4" t="n">
        <x:v>41.239530057702815</x:v>
      </x:c>
      <x:c r="H14" s="4" t="n">
        <x:v>38.93403363654796</x:v>
      </x:c>
    </x:row>
    <x:row r="15" ht="14.399999618530273" customHeight="1">
      <x:c r="A15" s="3" t="str">
        <x:v>ONSEN6-R</x:v>
      </x:c>
      <x:c r="B15" s="3" t="str">
        <x:v>ONSEN terminal candidate windows</x:v>
      </x:c>
      <x:c r="C15" s="4" t="n">
        <x:v>0</x:v>
      </x:c>
      <x:c r="D15" s="4" t="n">
        <x:v>0.016664804097062086</x:v>
      </x:c>
      <x:c r="E15" s="4" t="n">
        <x:v>0.03483820198367328</x:v>
      </x:c>
      <x:c r="F15" s="4" t="n">
        <x:v>29.279802712897716</x:v>
      </x:c>
      <x:c r="G15" s="4" t="n">
        <x:v>31.525425623521773</x:v>
      </x:c>
      <x:c r="H15" s="4" t="n">
        <x:v>31.40109899550848</x:v>
      </x:c>
    </x:row>
    <x:row r="16" ht="14.399999618530273" customHeight="1">
      <x:c r="A16" s="3" t="str">
        <x:v>ONSEN2-L</x:v>
      </x:c>
      <x:c r="B16" s="3" t="str">
        <x:v>ONSEN terminal candidate windows</x:v>
      </x:c>
      <x:c r="C16" s="4" t="n">
        <x:v>0.9053704160640857</x:v>
      </x:c>
      <x:c r="D16" s="4" t="n">
        <x:v>0.8998994212413526</x:v>
      </x:c>
      <x:c r="E16" s="4" t="n">
        <x:v>0.8361168476081589</x:v>
      </x:c>
      <x:c r="F16" s="4" t="n">
        <x:v>102.83400148245413</x:v>
      </x:c>
      <x:c r="G16" s="4" t="n">
        <x:v>102.4725594863453</x:v>
      </x:c>
      <x:c r="H16" s="4" t="n">
        <x:v>101.463995697491</x:v>
      </x:c>
    </x:row>
    <x:row r="17" ht="14.399999618530273" customHeight="1">
      <x:c r="A17" s="3" t="str">
        <x:v>ONSEN2-R</x:v>
      </x:c>
      <x:c r="B17" s="3" t="str">
        <x:v>ONSEN terminal candidate windows</x:v>
      </x:c>
      <x:c r="C17" s="4" t="n">
        <x:v>0.0352695915880049</x:v>
      </x:c>
      <x:c r="D17" s="4" t="n">
        <x:v>0.03332960819412417</x:v>
      </x:c>
      <x:c r="E17" s="4" t="n">
        <x:v>0</x:v>
      </x:c>
      <x:c r="F17" s="4" t="n">
        <x:v>48.99709277608707</x:v>
      </x:c>
      <x:c r="G17" s="4" t="n">
        <x:v>54.724778473873165</x:v>
      </x:c>
      <x:c r="H17" s="4" t="n">
        <x:v>61.70358908977192</x:v>
      </x:c>
    </x:row>
    <x:row r="18" ht="14.399999618530273" customHeight="1">
      <x:c r="A18" s="3" t="str">
        <x:v>ONSEN3-L</x:v>
      </x:c>
      <x:c r="B18" s="3" t="str">
        <x:v>ONSEN terminal candidate windows</x:v>
      </x:c>
      <x:c r="C18" s="4" t="n">
        <x:v>1.8752841847342203</x:v>
      </x:c>
      <x:c r="D18" s="4" t="n">
        <x:v>1.2221967324785332</x:v>
      </x:c>
      <x:c r="E18" s="4" t="n">
        <x:v>2.0990016695163156</x:v>
      </x:c>
      <x:c r="F18" s="4" t="n">
        <x:v>76.07872211520797</x:v>
      </x:c>
      <x:c r="G18" s="4" t="n">
        <x:v>86.48902345578726</x:v>
      </x:c>
      <x:c r="H18" s="4" t="n">
        <x:v>83.97377686061178</x:v>
      </x:c>
    </x:row>
    <x:row r="19" ht="14.399999618530273" customHeight="1">
      <x:c r="A19" s="3" t="str">
        <x:v>ONSEN3-R</x:v>
      </x:c>
      <x:c r="B19" s="3" t="str">
        <x:v>ONSEN terminal candidate windows</x:v>
      </x:c>
      <x:c r="C19" s="4" t="n">
        <x:v>0.4408698948500612</x:v>
      </x:c>
      <x:c r="D19" s="4" t="n">
        <x:v>0.5056101563048636</x:v>
      </x:c>
      <x:c r="E19" s="4" t="n">
        <x:v>0.1306432574387748</x:v>
      </x:c>
      <x:c r="F19" s="4" t="n">
        <x:v>34.704797903090984</x:v>
      </x:c>
      <x:c r="G19" s="4" t="n">
        <x:v>36.076120028915774</x:v>
      </x:c>
      <x:c r="H19" s="4" t="n">
        <x:v>39.99022313251521</x:v>
      </x:c>
    </x:row>
    <x:row r="20" ht="14.399999618530273" customHeight="1">
      <x:c r="A20" s="3" t="str">
        <x:v>ATCOPIA88_5</x:v>
      </x:c>
      <x:c r="B20" s="3" t="str">
        <x:v>HSF-rich non-ONSEN TE regions</x:v>
      </x:c>
      <x:c r="C20" s="4" t="n">
        <x:v>0</x:v>
      </x:c>
      <x:c r="D20" s="4" t="n">
        <x:v>0</x:v>
      </x:c>
      <x:c r="E20" s="4" t="n">
        <x:v>0</x:v>
      </x:c>
      <x:c r="F20" s="4" t="n">
        <x:v>0.04167943446675832</x:v>
      </x:c>
      <x:c r="G20" s="4" t="n">
        <x:v>0.21171928935488962</x:v>
      </x:c>
      <x:c r="H20" s="4" t="n">
        <x:v>0.21478179887488702</x:v>
      </x:c>
    </x:row>
    <x:row r="21" ht="14.399999618530273" customHeight="1">
      <x:c r="A21" s="3" t="str">
        <x:v>ATHILA4A_1</x:v>
      </x:c>
      <x:c r="B21" s="3" t="str">
        <x:v>HSF-rich non-ONSEN TE regions</x:v>
      </x:c>
      <x:c r="C21" s="4" t="n">
        <x:v>0</x:v>
      </x:c>
      <x:c r="D21" s="4" t="n">
        <x:v>0</x:v>
      </x:c>
      <x:c r="E21" s="4" t="n">
        <x:v>0</x:v>
      </x:c>
      <x:c r="F21" s="4" t="n">
        <x:v>0</x:v>
      </x:c>
      <x:c r="G21" s="4" t="n">
        <x:v>0</x:v>
      </x:c>
      <x:c r="H21" s="4" t="n">
        <x:v>0.053695449718721755</x:v>
      </x:c>
    </x:row>
    <x:row r="22" ht="14.399999618530273" customHeight="1">
      <x:c r="A22" s="3" t="str">
        <x:v>ATHILA4A_9</x:v>
      </x:c>
      <x:c r="B22" s="3" t="str">
        <x:v>HSF-rich non-ONSEN TE regions</x:v>
      </x:c>
      <x:c r="C22" s="4" t="n">
        <x:v>0</x:v>
      </x:c>
      <x:c r="D22" s="4" t="n">
        <x:v>0</x:v>
      </x:c>
      <x:c r="E22" s="4" t="n">
        <x:v>0</x:v>
      </x:c>
      <x:c r="F22" s="4" t="n">
        <x:v>0</x:v>
      </x:c>
      <x:c r="G22" s="4" t="n">
        <x:v>0</x:v>
      </x:c>
      <x:c r="H22" s="4" t="n">
        <x:v>0</x:v>
      </x:c>
    </x:row>
    <x:row r="23" ht="14.399999618530273" customHeight="1">
      <x:c r="A23" s="3" t="str">
        <x:v>ATHILA4A_10</x:v>
      </x:c>
      <x:c r="B23" s="3" t="str">
        <x:v>HSF-rich non-ONSEN TE regions</x:v>
      </x:c>
      <x:c r="C23" s="4" t="n">
        <x:v>0</x:v>
      </x:c>
      <x:c r="D23" s="4" t="n">
        <x:v>0</x:v>
      </x:c>
      <x:c r="E23" s="4" t="n">
        <x:v>0</x:v>
      </x:c>
      <x:c r="F23" s="4" t="n">
        <x:v>0</x:v>
      </x:c>
      <x:c r="G23" s="4" t="n">
        <x:v>0</x:v>
      </x:c>
      <x:c r="H23" s="4" t="n">
        <x:v>0</x:v>
      </x:c>
    </x:row>
    <x:row r="24" ht="14.399999618530273" customHeight="1">
      <x:c r="A24" s="3" t="str">
        <x:v>ATHILA4A_3</x:v>
      </x:c>
      <x:c r="B24" s="3" t="str">
        <x:v>HSF-rich non-ONSEN TE regions</x:v>
      </x:c>
      <x:c r="C24" s="4" t="n">
        <x:v>0</x:v>
      </x:c>
      <x:c r="D24" s="4" t="n">
        <x:v>0</x:v>
      </x:c>
      <x:c r="E24" s="4" t="n">
        <x:v>0</x:v>
      </x:c>
      <x:c r="F24" s="4" t="n">
        <x:v>0</x:v>
      </x:c>
      <x:c r="G24" s="4" t="n">
        <x:v>0</x:v>
      </x:c>
      <x:c r="H24" s="4" t="n">
        <x:v>0</x:v>
      </x:c>
    </x:row>
    <x:row r="25" ht="14.399999618530273" customHeight="1">
      <x:c r="A25" s="3" t="str">
        <x:v>ATCOPIA78_4</x:v>
      </x:c>
      <x:c r="B25" s="3" t="str">
        <x:v>Additional ATCOPIA78 candidate regions</x:v>
      </x:c>
      <x:c r="C25" s="4" t="n">
        <x:v>0</x:v>
      </x:c>
      <x:c r="D25" s="4" t="n">
        <x:v>0</x:v>
      </x:c>
      <x:c r="E25" s="4" t="n">
        <x:v>0</x:v>
      </x:c>
      <x:c r="F25" s="4" t="n">
        <x:v>2.5424455024722574</x:v>
      </x:c>
      <x:c r="G25" s="4" t="n">
        <x:v>2.45594375651672</x:v>
      </x:c>
      <x:c r="H25" s="4" t="n">
        <x:v>4.29563597749774</x:v>
      </x:c>
    </x:row>
    <x:row r="26" ht="14.399999618530273" customHeight="1">
      <x:c r="A26" s="3" t="str">
        <x:v>ATCOPIA78_2</x:v>
      </x:c>
      <x:c r="B26" s="3" t="str">
        <x:v>Additional ATCOPIA78 candidate regions</x:v>
      </x:c>
      <x:c r="C26" s="4" t="n">
        <x:v>0</x:v>
      </x:c>
      <x:c r="D26" s="4" t="n">
        <x:v>0</x:v>
      </x:c>
      <x:c r="E26" s="4" t="n">
        <x:v>0</x:v>
      </x:c>
      <x:c r="F26" s="4" t="n">
        <x:v>0</x:v>
      </x:c>
      <x:c r="G26" s="4" t="n">
        <x:v>0</x:v>
      </x:c>
      <x:c r="H26" s="4" t="n">
        <x:v>0.10739089943744351</x:v>
      </x:c>
    </x:row>
    <x:row r="27" ht="14.399999618530273" customHeight="1">
      <x:c r="A27" s="3" t="str">
        <x:v>ATHILA4D_LTR_6</x:v>
      </x:c>
      <x:c r="B27" s="3" t="str">
        <x:v>HSF-rich non-ONSEN TE regions</x:v>
      </x:c>
      <x:c r="C27" s="4" t="n">
        <x:v>0</x:v>
      </x:c>
      <x:c r="D27" s="4" t="n">
        <x:v>0</x:v>
      </x:c>
      <x:c r="E27" s="4" t="n">
        <x:v>0</x:v>
      </x:c>
      <x:c r="F27" s="4" t="n">
        <x:v>0</x:v>
      </x:c>
      <x:c r="G27" s="4" t="n">
        <x:v>0</x:v>
      </x:c>
      <x:c r="H27" s="4" t="n">
        <x:v>0</x:v>
      </x:c>
    </x:row>
    <x:row r="28" ht="14.399999618530273" customHeight="1">
      <x:c r="A28" s="3" t="str">
        <x:v>ATHILA8B_7</x:v>
      </x:c>
      <x:c r="B28" s="3" t="str">
        <x:v>HSF-rich non-ONSEN TE regions</x:v>
      </x:c>
      <x:c r="C28" s="4" t="n">
        <x:v>0</x:v>
      </x:c>
      <x:c r="D28" s="4" t="n">
        <x:v>0</x:v>
      </x:c>
      <x:c r="E28" s="4" t="n">
        <x:v>0</x:v>
      </x:c>
      <x:c r="F28" s="4" t="n">
        <x:v>0</x:v>
      </x:c>
      <x:c r="G28" s="4" t="n">
        <x:v>0</x:v>
      </x:c>
      <x:c r="H28" s="4" t="n">
        <x:v>0</x:v>
      </x:c>
    </x:row>
    <x:row r="29" ht="14.399999618530273" customHeight="1">
      <x:c r="A29" s="3" t="str">
        <x:v>ATHILA4A_8</x:v>
      </x:c>
      <x:c r="B29" s="3" t="str">
        <x:v>HSF-rich non-ONSEN TE regions</x:v>
      </x:c>
      <x:c r="C29" s="4" t="n">
        <x:v>0</x:v>
      </x:c>
      <x:c r="D29" s="4" t="n">
        <x:v>0</x:v>
      </x:c>
      <x:c r="E29" s="4" t="n">
        <x:v>0</x:v>
      </x:c>
      <x:c r="F29" s="4" t="n">
        <x:v>0</x:v>
      </x:c>
      <x:c r="G29" s="4" t="n">
        <x:v>0</x:v>
      </x:c>
      <x:c r="H29" s="4" t="n">
        <x:v>0</x:v>
      </x:c>
    </x:row>
  </x:sheetData>
  <x:mergeCells>
    <x:mergeCell ref="A1:H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9" hidden="0" customWidth="1"/>
    <x:col min="3" max="3" width="19" hidden="0" customWidth="1"/>
    <x:col min="4" max="4" width="19" hidden="0" customWidth="1"/>
    <x:col min="5" max="5" width="18" hidden="0" customWidth="1"/>
    <x:col min="6" max="6" width="18" hidden="0" customWidth="1"/>
    <x:col min="7" max="7" width="18" hidden="0" customWidth="1"/>
    <x:col min="8" max="8" width="52" hidden="0" customWidth="1"/>
  </x:cols>
  <x:sheetData>
    <x:row r="1" ht="38" customHeight="1">
      <x:c r="A1" s="22" t="str">
        <x:v>Table S10D. Statistical analysis of replicate-summed fractional CPM across the sixteen curated ONSEN terminal candidate windows.</x:v>
      </x:c>
      <x:c r="B1" s="22"/>
      <x:c r="C1" s="22"/>
      <x:c r="D1" s="22"/>
      <x:c r="E1" s="22"/>
      <x:c r="F1" s="22"/>
      <x:c r="G1" s="22"/>
      <x:c r="H1" s="22"/>
    </x:row>
    <x:row r="2" ht="55" customHeight="1">
      <x:c r="A2" s="25" t="str">
        <x:v>For each biological replicate, fractional CPM was summed across the 16 ONSEN terminal candidate windows in Table S10C. The two-sided Welch's t-test is the principal Fig. 5B result; the Wilcoxon rank-sum test is the corresponding non-parametric result reported in Table S10.</x:v>
      </x:c>
      <x:c r="B2" s="25"/>
      <x:c r="C2" s="25"/>
      <x:c r="D2" s="25"/>
      <x:c r="E2" s="25"/>
      <x:c r="F2" s="25"/>
      <x:c r="G2" s="25"/>
      <x:c r="H2" s="25"/>
    </x:row>
    <x:row r="4" ht="42" customHeight="1">
      <x:c r="A4" s="14" t="str">
        <x:v>Treatment</x:v>
      </x:c>
      <x:c r="B4" s="14" t="str">
        <x:v>Biological replicate</x:v>
      </x:c>
      <x:c r="C4" s="14" t="str">
        <x:v>Summed fractional CPM across 16 windows</x:v>
      </x:c>
      <x:c r="D4" s="14" t="str">
        <x:v>Mean fractional CPM per window</x:v>
      </x:c>
    </x:row>
    <x:row r="5">
      <x:c r="A5" s="29" t="str">
        <x:v>NS</x:v>
      </x:c>
      <x:c r="B5" s="29" t="str">
        <x:v>rep1</x:v>
      </x:c>
      <x:c r="C5" s="30" t="n">
        <x:f>SUM('S10C_Replicate_CPM'!C4:C19)</x:f>
        <x:v>5.114090780260709</x:v>
      </x:c>
      <x:c r="D5" s="30" t="n">
        <x:f>C5/16</x:f>
        <x:v>0.31963067376629434</x:v>
      </x:c>
    </x:row>
    <x:row r="6">
      <x:c r="A6" s="29" t="str">
        <x:v>NS</x:v>
      </x:c>
      <x:c r="B6" s="29" t="str">
        <x:v>rep2</x:v>
      </x:c>
      <x:c r="C6" s="30" t="n">
        <x:f>SUM('S10C_Replicate_CPM'!D4:D19)</x:f>
        <x:v>3.4999421564649786</x:v>
      </x:c>
      <x:c r="D6" s="30" t="n">
        <x:f>C6/16</x:f>
        <x:v>0.21874638477906116</x:v>
      </x:c>
    </x:row>
    <x:row r="7">
      <x:c r="A7" s="29" t="str">
        <x:v>NS</x:v>
      </x:c>
      <x:c r="B7" s="29" t="str">
        <x:v>rep3</x:v>
      </x:c>
      <x:c r="C7" s="30" t="n">
        <x:f>SUM('S10C_Replicate_CPM'!E4:E19)</x:f>
        <x:v>3.797015634200551</x:v>
      </x:c>
      <x:c r="D7" s="30" t="n">
        <x:f>C7/16</x:f>
        <x:v>0.23731347713753445</x:v>
      </x:c>
    </x:row>
    <x:row r="8">
      <x:c r="A8" s="29" t="str">
        <x:v>HS</x:v>
      </x:c>
      <x:c r="B8" s="29" t="str">
        <x:v>rep1</x:v>
      </x:c>
      <x:c r="C8" s="30" t="n">
        <x:f>SUM('S10C_Replicate_CPM'!F4:F19)</x:f>
        <x:v>818.0030816106668</x:v>
      </x:c>
      <x:c r="D8" s="30" t="n">
        <x:f>C8/16</x:f>
        <x:v>51.12519260066667</x:v>
      </x:c>
    </x:row>
    <x:row r="9">
      <x:c r="A9" s="29" t="str">
        <x:v>HS</x:v>
      </x:c>
      <x:c r="B9" s="29" t="str">
        <x:v>rep2</x:v>
      </x:c>
      <x:c r="C9" s="30" t="n">
        <x:f>SUM('S10C_Replicate_CPM'!G4:G19)</x:f>
        <x:v>889.5381707859899</x:v>
      </x:c>
      <x:c r="D9" s="30" t="n">
        <x:f>C9/16</x:f>
        <x:v>55.59613567412437</x:v>
      </x:c>
    </x:row>
    <x:row r="10">
      <x:c r="A10" s="29" t="str">
        <x:v>HS</x:v>
      </x:c>
      <x:c r="B10" s="29" t="str">
        <x:v>rep3</x:v>
      </x:c>
      <x:c r="C10" s="30" t="n">
        <x:f>SUM('S10C_Replicate_CPM'!H4:H19)</x:f>
        <x:v>889.1096607134879</x:v>
      </x:c>
      <x:c r="D10" s="30" t="n">
        <x:f>C10/16</x:f>
        <x:v>55.56935379459299</x:v>
      </x:c>
    </x:row>
    <x:row r="12" ht="42" customHeight="1">
      <x:c r="A12" s="14" t="str">
        <x:v>Statistical test</x:v>
      </x:c>
      <x:c r="B12" s="14" t="str">
        <x:v>Comparison unit</x:v>
      </x:c>
      <x:c r="C12" s="14" t="str">
        <x:v>n NS</x:v>
      </x:c>
      <x:c r="D12" s="14" t="str">
        <x:v>n HS</x:v>
      </x:c>
      <x:c r="E12" s="14" t="str">
        <x:v>Test statistic</x:v>
      </x:c>
      <x:c r="F12" s="14" t="str">
        <x:v>Degrees of freedom</x:v>
      </x:c>
      <x:c r="G12" s="14" t="str">
        <x:v>Two-sided P</x:v>
      </x:c>
      <x:c r="H12" s="14" t="str">
        <x:v>Implementation note</x:v>
      </x:c>
    </x:row>
    <x:row r="13" ht="42" customHeight="1">
      <x:c r="A13" s="31" t="str">
        <x:v>Welch's t-test</x:v>
      </x:c>
      <x:c r="B13" s="31" t="str">
        <x:v>Replicate-summed fractional CPM</x:v>
      </x:c>
      <x:c r="C13" s="31" t="n">
        <x:v>3</x:v>
      </x:c>
      <x:c r="D13" s="31" t="n">
        <x:v>3</x:v>
      </x:c>
      <x:c r="E13" s="32" t="n">
        <x:v>-36.22563679164123</x:v>
      </x:c>
      <x:c r="F13" s="32" t="n">
        <x:v>2.0017411399376708</x:v>
      </x:c>
      <x:c r="G13" s="33" t="n">
        <x:v>0.000757270061088614</x:v>
      </x:c>
      <x:c r="H13" s="31" t="str">
        <x:v>Two-sided; unequal variances (R: t.test, var.equal=FALSE)</x:v>
      </x:c>
    </x:row>
    <x:row r="14" ht="42" customHeight="1">
      <x:c r="A14" s="31" t="str">
        <x:v>Wilcoxon rank-sum test</x:v>
      </x:c>
      <x:c r="B14" s="31" t="str">
        <x:v>Replicate-summed fractional CPM</x:v>
      </x:c>
      <x:c r="C14" s="31" t="n">
        <x:v>3</x:v>
      </x:c>
      <x:c r="D14" s="31" t="n">
        <x:v>3</x:v>
      </x:c>
      <x:c r="E14" s="32" t="n">
        <x:v>0</x:v>
      </x:c>
      <x:c r="F14" s="32"/>
      <x:c r="G14" s="33" t="n">
        <x:v>0.08085559837005224</x:v>
      </x:c>
      <x:c r="H14" s="31" t="str">
        <x:v>Two-sided; asymptotic normal approximation with continuity correction (R: wilcox.test, exact=FALSE)</x:v>
      </x:c>
    </x:row>
    <x:row r="16" ht="44" customHeight="1">
      <x:c r="A16" s="36" t="str">
        <x:v>Note: These tests compare three biological-replicate sums per condition. They are not per-window tests, and the measurements are candidate-window signal rather than copy-specific ONSEN expression because multimapping reads were counted fractionally.</x:v>
      </x:c>
      <x:c r="B16" s="36"/>
      <x:c r="C16" s="36"/>
      <x:c r="D16" s="36"/>
      <x:c r="E16" s="36"/>
      <x:c r="F16" s="36"/>
      <x:c r="G16" s="36"/>
      <x:c r="H16" s="36"/>
    </x:row>
  </x:sheetData>
  <x:mergeCells>
    <x:mergeCell ref="A1:H1"/>
    <x:mergeCell ref="A2:H2"/>
    <x:mergeCell ref="A16:H16"/>
  </x:mergeCells>
  <x:pageMargins left="0.7" right="0.7" top="0.75" bottom="0.75" header="0.3" footer="0.3"/>
</x:worksheet>
</file>